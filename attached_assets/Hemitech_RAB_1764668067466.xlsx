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_outside\pewaca\Finance\"/>
    </mc:Choice>
  </mc:AlternateContent>
  <xr:revisionPtr revIDLastSave="0" documentId="13_ncr:1_{89167ED1-B8A7-4733-99EE-7E9B651152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PEX (Setup Awal)" sheetId="2" r:id="rId1"/>
    <sheet name="OPEX (Bulanan &amp; Tahunan)" sheetId="3" r:id="rId2"/>
    <sheet name="Pegawai" sheetId="4" r:id="rId3"/>
    <sheet name="Revenu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1lo5BrNNuUY6KLtNtDmesuyxSUFmOxFxwu08El6vcXE="/>
    </ext>
  </extLst>
</workbook>
</file>

<file path=xl/calcChain.xml><?xml version="1.0" encoding="utf-8"?>
<calcChain xmlns="http://schemas.openxmlformats.org/spreadsheetml/2006/main">
  <c r="F3" i="5" l="1"/>
  <c r="G3" i="5" s="1"/>
  <c r="F2" i="5"/>
  <c r="G2" i="5" s="1"/>
  <c r="D12" i="4"/>
  <c r="E12" i="4" s="1"/>
  <c r="D11" i="4"/>
  <c r="E11" i="4" s="1"/>
  <c r="D10" i="4"/>
  <c r="E10" i="4" s="1"/>
  <c r="D9" i="4"/>
  <c r="E9" i="4" s="1"/>
  <c r="D8" i="4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4" i="3"/>
  <c r="E14" i="2"/>
  <c r="E13" i="2"/>
  <c r="E12" i="2"/>
  <c r="E11" i="2"/>
  <c r="E10" i="2"/>
  <c r="E9" i="2"/>
  <c r="E8" i="2"/>
  <c r="E7" i="2"/>
  <c r="E6" i="2"/>
  <c r="E5" i="2"/>
  <c r="E4" i="2"/>
  <c r="E3" i="2"/>
  <c r="E2" i="2"/>
  <c r="E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ID#AAABuFJyac0
imran ahmad    (2025-11-30 23:49:42)
ini harga 1 orang atau baseon dari QTY di kolom sebelah 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kcpXN4mYRTTwHFTpq9itIVmwAg=="/>
    </ext>
  </extLst>
</comments>
</file>

<file path=xl/sharedStrings.xml><?xml version="1.0" encoding="utf-8"?>
<sst xmlns="http://schemas.openxmlformats.org/spreadsheetml/2006/main" count="99" uniqueCount="59">
  <si>
    <t>Kategori</t>
  </si>
  <si>
    <t>Item</t>
  </si>
  <si>
    <t>Qty</t>
  </si>
  <si>
    <t>Harga Satuan (Rp)</t>
  </si>
  <si>
    <t>Total (Rp)</t>
  </si>
  <si>
    <t>Sewa Awal</t>
  </si>
  <si>
    <t>DP + 1 Tahun Sewa</t>
  </si>
  <si>
    <t>Renovasi &amp; Interior</t>
  </si>
  <si>
    <t>Furniture (Meja, Kursi, Rak)</t>
  </si>
  <si>
    <t>Meeting Room Setup</t>
  </si>
  <si>
    <t>Pantry Setup</t>
  </si>
  <si>
    <t>Branding &amp; Signage</t>
  </si>
  <si>
    <t>Infrastruktur IT</t>
  </si>
  <si>
    <t>Server</t>
  </si>
  <si>
    <t>Database</t>
  </si>
  <si>
    <t>Instalasi Jaringan</t>
  </si>
  <si>
    <t>CCTV</t>
  </si>
  <si>
    <t>Peralatan Kantor</t>
  </si>
  <si>
    <t>Printer + Scanner</t>
  </si>
  <si>
    <t>Whiteboard (3 Unit)</t>
  </si>
  <si>
    <t>Proyektor / TV Meeting</t>
  </si>
  <si>
    <t>Loker / Lemari</t>
  </si>
  <si>
    <t>Total Bulanan (Rp)</t>
  </si>
  <si>
    <t>Total Tahunan (Rp)</t>
  </si>
  <si>
    <t>Internet &amp; Komunikasi</t>
  </si>
  <si>
    <t>Internet Utama + Backup</t>
  </si>
  <si>
    <t>Utilities</t>
  </si>
  <si>
    <t>Listrik + Air + Kebersihan</t>
  </si>
  <si>
    <t>Mailbox</t>
  </si>
  <si>
    <t>Total Salary/year</t>
  </si>
  <si>
    <t>Salary/month</t>
  </si>
  <si>
    <t>Total Salary/month</t>
  </si>
  <si>
    <t>THR</t>
  </si>
  <si>
    <t>BPJS</t>
  </si>
  <si>
    <t>Insurance</t>
  </si>
  <si>
    <t>CEO</t>
  </si>
  <si>
    <t>YES</t>
  </si>
  <si>
    <t>CTO</t>
  </si>
  <si>
    <t>Frontend Developer</t>
  </si>
  <si>
    <t>Backend Developer</t>
  </si>
  <si>
    <t>NO</t>
  </si>
  <si>
    <t>Mobile Developer</t>
  </si>
  <si>
    <t>HR</t>
  </si>
  <si>
    <t>Finance</t>
  </si>
  <si>
    <t>Operational</t>
  </si>
  <si>
    <t>Sales (medium)</t>
  </si>
  <si>
    <t xml:space="preserve">Sales (Junior) </t>
  </si>
  <si>
    <t>Public Relation</t>
  </si>
  <si>
    <t>Subscription</t>
  </si>
  <si>
    <t>Unit/Residence</t>
  </si>
  <si>
    <t>Residence</t>
  </si>
  <si>
    <t>Payment Gateway Fees</t>
  </si>
  <si>
    <t>Average transaction/month</t>
  </si>
  <si>
    <t>Income/month</t>
  </si>
  <si>
    <t>Income/year</t>
  </si>
  <si>
    <t>Income type</t>
  </si>
  <si>
    <t>Payment Gateway</t>
  </si>
  <si>
    <t>Jabatan</t>
  </si>
  <si>
    <t>Pro-rate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</si>
</sst>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&quot;Rp&quot;#,##0.00"/>
  </numFmts>
  <fonts count="6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ptos Narrow"/>
    </font>
    <font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3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/>
    <xf numFmtId="3" fontId="5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165" fontId="1" fillId="0" borderId="4" xfId="0" applyNumberFormat="1" applyFont="1" applyBorder="1"/>
    <xf numFmtId="165" fontId="3" fillId="0" borderId="4" xfId="0" applyNumberFormat="1" applyFont="1" applyBorder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tabSelected="1" workbookViewId="0">
      <selection activeCell="E14" sqref="E14"/>
    </sheetView>
  </sheetViews>
  <sheetFormatPr defaultColWidth="14.44140625" defaultRowHeight="15" customHeight="1"/>
  <cols>
    <col min="1" max="1" width="18.5546875" customWidth="1"/>
    <col min="2" max="2" width="30.6640625" customWidth="1"/>
    <col min="3" max="3" width="5.109375" customWidth="1"/>
    <col min="4" max="4" width="20.33203125" customWidth="1"/>
    <col min="5" max="5" width="17.33203125" customWidth="1"/>
    <col min="6" max="6" width="8.88671875" customWidth="1"/>
    <col min="7" max="26" width="8.6640625" customWidth="1"/>
  </cols>
  <sheetData>
    <row r="1" spans="1:26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5" t="s">
        <v>5</v>
      </c>
      <c r="B2" s="6" t="s">
        <v>6</v>
      </c>
      <c r="C2" s="6">
        <v>1</v>
      </c>
      <c r="D2" s="7">
        <v>150000000</v>
      </c>
      <c r="E2" s="8">
        <f t="shared" ref="E2:E14" si="0">C2*D2</f>
        <v>150000000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5" t="s">
        <v>7</v>
      </c>
      <c r="B3" s="5" t="s">
        <v>8</v>
      </c>
      <c r="C3" s="6">
        <v>12</v>
      </c>
      <c r="D3" s="8">
        <v>2500000</v>
      </c>
      <c r="E3" s="8">
        <f t="shared" si="0"/>
        <v>30000000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5" t="s">
        <v>7</v>
      </c>
      <c r="B4" s="5" t="s">
        <v>9</v>
      </c>
      <c r="C4" s="6">
        <v>1</v>
      </c>
      <c r="D4" s="7">
        <v>5000000</v>
      </c>
      <c r="E4" s="8">
        <f t="shared" si="0"/>
        <v>5000000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5" t="s">
        <v>7</v>
      </c>
      <c r="B5" s="5" t="s">
        <v>10</v>
      </c>
      <c r="C5" s="6">
        <v>1</v>
      </c>
      <c r="D5" s="7">
        <v>5000000</v>
      </c>
      <c r="E5" s="8">
        <f t="shared" si="0"/>
        <v>5000000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5" t="s">
        <v>7</v>
      </c>
      <c r="B6" s="5" t="s">
        <v>11</v>
      </c>
      <c r="C6" s="6">
        <v>1</v>
      </c>
      <c r="D6" s="7">
        <v>50000000</v>
      </c>
      <c r="E6" s="8">
        <f t="shared" si="0"/>
        <v>50000000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5" t="s">
        <v>12</v>
      </c>
      <c r="B7" s="5" t="s">
        <v>13</v>
      </c>
      <c r="C7" s="6">
        <v>1</v>
      </c>
      <c r="D7" s="7">
        <v>40000000</v>
      </c>
      <c r="E7" s="8">
        <f t="shared" si="0"/>
        <v>40000000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" t="s">
        <v>12</v>
      </c>
      <c r="B8" s="6" t="s">
        <v>14</v>
      </c>
      <c r="C8" s="6">
        <v>1</v>
      </c>
      <c r="D8" s="7">
        <v>100000000</v>
      </c>
      <c r="E8" s="8">
        <f t="shared" si="0"/>
        <v>100000000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" t="s">
        <v>12</v>
      </c>
      <c r="B9" s="5" t="s">
        <v>15</v>
      </c>
      <c r="C9" s="6">
        <v>1</v>
      </c>
      <c r="D9" s="7">
        <v>1000000</v>
      </c>
      <c r="E9" s="8">
        <f t="shared" si="0"/>
        <v>1000000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" t="s">
        <v>12</v>
      </c>
      <c r="B10" s="5" t="s">
        <v>16</v>
      </c>
      <c r="C10" s="6">
        <v>3</v>
      </c>
      <c r="D10" s="7">
        <v>1000000</v>
      </c>
      <c r="E10" s="8">
        <f t="shared" si="0"/>
        <v>3000000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" t="s">
        <v>17</v>
      </c>
      <c r="B11" s="5" t="s">
        <v>18</v>
      </c>
      <c r="C11" s="6">
        <v>1</v>
      </c>
      <c r="D11" s="7">
        <v>1000000</v>
      </c>
      <c r="E11" s="8">
        <f t="shared" si="0"/>
        <v>1000000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5" t="s">
        <v>17</v>
      </c>
      <c r="B12" s="5" t="s">
        <v>19</v>
      </c>
      <c r="C12" s="5">
        <v>3</v>
      </c>
      <c r="D12" s="8">
        <v>1000000</v>
      </c>
      <c r="E12" s="8">
        <f t="shared" si="0"/>
        <v>3000000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5" t="s">
        <v>17</v>
      </c>
      <c r="B13" s="5" t="s">
        <v>20</v>
      </c>
      <c r="C13" s="6">
        <v>2</v>
      </c>
      <c r="D13" s="7">
        <v>5000000</v>
      </c>
      <c r="E13" s="8">
        <f t="shared" si="0"/>
        <v>10000000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5" t="s">
        <v>17</v>
      </c>
      <c r="B14" s="5" t="s">
        <v>21</v>
      </c>
      <c r="C14" s="6">
        <v>2</v>
      </c>
      <c r="D14" s="7">
        <v>3000000</v>
      </c>
      <c r="E14" s="8">
        <f t="shared" si="0"/>
        <v>6000000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workbookViewId="0">
      <selection activeCell="A2" sqref="A2:D4"/>
    </sheetView>
  </sheetViews>
  <sheetFormatPr defaultColWidth="14.44140625" defaultRowHeight="15" customHeight="1"/>
  <cols>
    <col min="1" max="1" width="20.6640625" customWidth="1"/>
    <col min="2" max="2" width="30.44140625" customWidth="1"/>
    <col min="3" max="3" width="18.88671875" customWidth="1"/>
    <col min="4" max="4" width="18.33203125" customWidth="1"/>
    <col min="5" max="6" width="8.88671875" customWidth="1"/>
    <col min="7" max="26" width="8.6640625" customWidth="1"/>
  </cols>
  <sheetData>
    <row r="1" spans="1:26" ht="14.25" customHeight="1">
      <c r="A1" s="18" t="s">
        <v>0</v>
      </c>
      <c r="B1" s="18" t="s">
        <v>1</v>
      </c>
      <c r="C1" s="18" t="s">
        <v>22</v>
      </c>
      <c r="D1" s="18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9" t="s">
        <v>24</v>
      </c>
      <c r="B2" s="19" t="s">
        <v>25</v>
      </c>
      <c r="C2" s="20">
        <v>1500000</v>
      </c>
      <c r="D2" s="21">
        <v>162000000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9" t="s">
        <v>26</v>
      </c>
      <c r="B3" s="19" t="s">
        <v>27</v>
      </c>
      <c r="C3" s="21">
        <v>9500000</v>
      </c>
      <c r="D3" s="21">
        <v>114000000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9" t="s">
        <v>24</v>
      </c>
      <c r="B4" s="19" t="s">
        <v>28</v>
      </c>
      <c r="C4" s="21">
        <v>500000</v>
      </c>
      <c r="D4" s="21">
        <f>C4*12</f>
        <v>6000000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1"/>
  <sheetViews>
    <sheetView workbookViewId="0">
      <selection activeCell="H1" sqref="H1"/>
    </sheetView>
  </sheetViews>
  <sheetFormatPr defaultColWidth="14.44140625" defaultRowHeight="15" customHeight="1"/>
  <cols>
    <col min="1" max="1" width="20.5546875" customWidth="1"/>
    <col min="2" max="2" width="8.6640625" customWidth="1"/>
    <col min="3" max="3" width="16.6640625" customWidth="1"/>
    <col min="4" max="4" width="17.33203125" customWidth="1"/>
    <col min="5" max="5" width="18.109375" customWidth="1"/>
    <col min="6" max="11" width="16.6640625" customWidth="1"/>
    <col min="12" max="30" width="8.6640625" customWidth="1"/>
  </cols>
  <sheetData>
    <row r="1" spans="1:11" ht="14.25" customHeight="1">
      <c r="A1" s="10" t="s">
        <v>57</v>
      </c>
      <c r="B1" s="11" t="s">
        <v>2</v>
      </c>
      <c r="C1" s="12" t="s">
        <v>30</v>
      </c>
      <c r="D1" s="12" t="s">
        <v>31</v>
      </c>
      <c r="E1" s="22" t="s">
        <v>29</v>
      </c>
      <c r="F1" s="12" t="s">
        <v>32</v>
      </c>
      <c r="G1" s="12" t="s">
        <v>33</v>
      </c>
      <c r="H1" s="12" t="s">
        <v>34</v>
      </c>
      <c r="I1" s="13"/>
      <c r="J1" s="1"/>
      <c r="K1" s="1"/>
    </row>
    <row r="2" spans="1:11" ht="14.25" customHeight="1">
      <c r="A2" s="14" t="s">
        <v>35</v>
      </c>
      <c r="B2" s="15">
        <v>1</v>
      </c>
      <c r="C2" s="16">
        <v>30000000</v>
      </c>
      <c r="D2" s="16">
        <f t="shared" ref="D2:D3" si="0">B2*C2</f>
        <v>30000000</v>
      </c>
      <c r="E2" s="16">
        <f t="shared" ref="E2:E12" si="1">D2*12</f>
        <v>360000000</v>
      </c>
      <c r="F2" s="16">
        <v>25000000</v>
      </c>
      <c r="G2" s="16" t="s">
        <v>36</v>
      </c>
      <c r="H2" s="16" t="s">
        <v>36</v>
      </c>
      <c r="J2" s="3"/>
      <c r="K2" s="3"/>
    </row>
    <row r="3" spans="1:11" ht="14.25" customHeight="1">
      <c r="A3" s="14" t="s">
        <v>37</v>
      </c>
      <c r="B3" s="15">
        <v>1</v>
      </c>
      <c r="C3" s="16">
        <v>25000000</v>
      </c>
      <c r="D3" s="16">
        <f t="shared" si="0"/>
        <v>25000000</v>
      </c>
      <c r="E3" s="16">
        <f t="shared" si="1"/>
        <v>300000000</v>
      </c>
      <c r="F3" s="16">
        <v>20000000</v>
      </c>
      <c r="G3" s="16" t="s">
        <v>36</v>
      </c>
      <c r="H3" s="16" t="s">
        <v>36</v>
      </c>
      <c r="J3" s="3"/>
      <c r="K3" s="3"/>
    </row>
    <row r="4" spans="1:11" ht="14.25" customHeight="1">
      <c r="A4" s="15" t="s">
        <v>38</v>
      </c>
      <c r="B4" s="15">
        <v>1</v>
      </c>
      <c r="C4" s="16">
        <v>9000000</v>
      </c>
      <c r="D4" s="16">
        <f t="shared" ref="D4:D12" si="2">C4*B4</f>
        <v>9000000</v>
      </c>
      <c r="E4" s="16">
        <f t="shared" si="1"/>
        <v>108000000</v>
      </c>
      <c r="F4" s="16">
        <v>9000000</v>
      </c>
      <c r="G4" s="16" t="s">
        <v>36</v>
      </c>
      <c r="H4" s="16" t="s">
        <v>36</v>
      </c>
      <c r="J4" s="3"/>
      <c r="K4" s="3"/>
    </row>
    <row r="5" spans="1:11" ht="14.25" customHeight="1">
      <c r="A5" s="15" t="s">
        <v>39</v>
      </c>
      <c r="B5" s="15">
        <v>1</v>
      </c>
      <c r="C5" s="16">
        <v>9000000</v>
      </c>
      <c r="D5" s="16">
        <f t="shared" si="2"/>
        <v>9000000</v>
      </c>
      <c r="E5" s="16">
        <f t="shared" si="1"/>
        <v>108000000</v>
      </c>
      <c r="F5" s="16" t="s">
        <v>58</v>
      </c>
      <c r="G5" s="16" t="s">
        <v>36</v>
      </c>
      <c r="H5" s="16" t="s">
        <v>40</v>
      </c>
      <c r="J5" s="3"/>
      <c r="K5" s="3"/>
    </row>
    <row r="6" spans="1:11" ht="14.25" customHeight="1">
      <c r="A6" s="15" t="s">
        <v>41</v>
      </c>
      <c r="B6" s="15">
        <v>1</v>
      </c>
      <c r="C6" s="16">
        <v>9000000</v>
      </c>
      <c r="D6" s="16">
        <f t="shared" si="2"/>
        <v>9000000</v>
      </c>
      <c r="E6" s="16">
        <f t="shared" si="1"/>
        <v>108000000</v>
      </c>
      <c r="F6" s="16" t="s">
        <v>58</v>
      </c>
      <c r="G6" s="16" t="s">
        <v>36</v>
      </c>
      <c r="H6" s="16" t="s">
        <v>40</v>
      </c>
      <c r="J6" s="3"/>
      <c r="K6" s="3"/>
    </row>
    <row r="7" spans="1:11" ht="14.25" customHeight="1">
      <c r="A7" s="15" t="s">
        <v>42</v>
      </c>
      <c r="B7" s="15">
        <v>1</v>
      </c>
      <c r="C7" s="16">
        <v>7000000</v>
      </c>
      <c r="D7" s="16">
        <f t="shared" si="2"/>
        <v>7000000</v>
      </c>
      <c r="E7" s="16">
        <f t="shared" si="1"/>
        <v>84000000</v>
      </c>
      <c r="F7" s="16" t="s">
        <v>58</v>
      </c>
      <c r="G7" s="16" t="s">
        <v>36</v>
      </c>
      <c r="H7" s="16" t="s">
        <v>40</v>
      </c>
      <c r="J7" s="3"/>
      <c r="K7" s="3"/>
    </row>
    <row r="8" spans="1:11" ht="14.25" customHeight="1">
      <c r="A8" s="15" t="s">
        <v>43</v>
      </c>
      <c r="B8" s="15">
        <v>1</v>
      </c>
      <c r="C8" s="16">
        <v>7000000</v>
      </c>
      <c r="D8" s="16">
        <f t="shared" si="2"/>
        <v>7000000</v>
      </c>
      <c r="E8" s="16">
        <f t="shared" si="1"/>
        <v>84000000</v>
      </c>
      <c r="F8" s="16" t="s">
        <v>58</v>
      </c>
      <c r="G8" s="16" t="s">
        <v>36</v>
      </c>
      <c r="H8" s="16" t="s">
        <v>40</v>
      </c>
      <c r="J8" s="3"/>
      <c r="K8" s="3"/>
    </row>
    <row r="9" spans="1:11" ht="14.25" customHeight="1">
      <c r="A9" s="15" t="s">
        <v>44</v>
      </c>
      <c r="B9" s="15">
        <v>2</v>
      </c>
      <c r="C9" s="16">
        <v>4000000</v>
      </c>
      <c r="D9" s="16">
        <f t="shared" si="2"/>
        <v>8000000</v>
      </c>
      <c r="E9" s="16">
        <f t="shared" si="1"/>
        <v>96000000</v>
      </c>
      <c r="F9" s="16" t="s">
        <v>58</v>
      </c>
      <c r="G9" s="16" t="s">
        <v>36</v>
      </c>
      <c r="H9" s="16" t="s">
        <v>40</v>
      </c>
      <c r="J9" s="3"/>
      <c r="K9" s="3"/>
    </row>
    <row r="10" spans="1:11" ht="14.25" customHeight="1">
      <c r="A10" s="15" t="s">
        <v>45</v>
      </c>
      <c r="B10" s="15">
        <v>2</v>
      </c>
      <c r="C10" s="16">
        <v>6000000</v>
      </c>
      <c r="D10" s="16">
        <f t="shared" si="2"/>
        <v>12000000</v>
      </c>
      <c r="E10" s="16">
        <f t="shared" si="1"/>
        <v>144000000</v>
      </c>
      <c r="F10" s="16" t="s">
        <v>58</v>
      </c>
      <c r="G10" s="16" t="s">
        <v>36</v>
      </c>
      <c r="H10" s="16" t="s">
        <v>40</v>
      </c>
      <c r="J10" s="3"/>
      <c r="K10" s="3"/>
    </row>
    <row r="11" spans="1:11" ht="14.25" customHeight="1">
      <c r="A11" s="15" t="s">
        <v>46</v>
      </c>
      <c r="B11" s="15">
        <v>3</v>
      </c>
      <c r="C11" s="16">
        <v>4000000</v>
      </c>
      <c r="D11" s="16">
        <f t="shared" si="2"/>
        <v>12000000</v>
      </c>
      <c r="E11" s="16">
        <f t="shared" si="1"/>
        <v>144000000</v>
      </c>
      <c r="F11" s="16" t="s">
        <v>58</v>
      </c>
      <c r="G11" s="16" t="s">
        <v>36</v>
      </c>
      <c r="H11" s="16" t="s">
        <v>40</v>
      </c>
      <c r="J11" s="3"/>
      <c r="K11" s="3"/>
    </row>
    <row r="12" spans="1:11" ht="14.25" customHeight="1">
      <c r="A12" s="15" t="s">
        <v>47</v>
      </c>
      <c r="B12" s="15">
        <v>1</v>
      </c>
      <c r="C12" s="16">
        <v>4000000</v>
      </c>
      <c r="D12" s="16">
        <f t="shared" si="2"/>
        <v>4000000</v>
      </c>
      <c r="E12" s="16">
        <f t="shared" si="1"/>
        <v>48000000</v>
      </c>
      <c r="F12" s="16" t="s">
        <v>58</v>
      </c>
      <c r="G12" s="16" t="s">
        <v>36</v>
      </c>
      <c r="H12" s="16" t="s">
        <v>40</v>
      </c>
      <c r="J12" s="3"/>
      <c r="K12" s="3"/>
    </row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1"/>
  <sheetViews>
    <sheetView workbookViewId="0">
      <selection activeCell="G3" sqref="G3"/>
    </sheetView>
  </sheetViews>
  <sheetFormatPr defaultColWidth="14.44140625" defaultRowHeight="15" customHeight="1"/>
  <sheetData>
    <row r="1" spans="1:7">
      <c r="A1" s="9" t="s">
        <v>49</v>
      </c>
      <c r="B1" s="9" t="s">
        <v>50</v>
      </c>
      <c r="C1" s="9" t="s">
        <v>55</v>
      </c>
      <c r="D1" s="9" t="s">
        <v>51</v>
      </c>
      <c r="E1" s="9" t="s">
        <v>52</v>
      </c>
      <c r="F1" s="9" t="s">
        <v>53</v>
      </c>
      <c r="G1" s="9" t="s">
        <v>54</v>
      </c>
    </row>
    <row r="2" spans="1:7">
      <c r="A2" s="17">
        <v>20000</v>
      </c>
      <c r="B2" s="17">
        <v>100</v>
      </c>
      <c r="C2" s="17" t="s">
        <v>56</v>
      </c>
      <c r="D2" s="17">
        <v>1500</v>
      </c>
      <c r="E2" s="17">
        <v>2</v>
      </c>
      <c r="F2" s="17">
        <f>A2*(D2*E2)</f>
        <v>60000000</v>
      </c>
      <c r="G2" s="17">
        <f>F2*12</f>
        <v>720000000</v>
      </c>
    </row>
    <row r="3" spans="1:7">
      <c r="A3" s="17">
        <v>20000</v>
      </c>
      <c r="B3" s="17">
        <v>100</v>
      </c>
      <c r="C3" s="17" t="s">
        <v>48</v>
      </c>
      <c r="D3" s="17">
        <v>10000</v>
      </c>
      <c r="E3" s="17">
        <v>0</v>
      </c>
      <c r="F3" s="17">
        <f>A3*D3</f>
        <v>200000000</v>
      </c>
      <c r="G3" s="17">
        <f>F3*12</f>
        <v>2400000000</v>
      </c>
    </row>
    <row r="4" spans="1:7"/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 (Setup Awal)</vt:lpstr>
      <vt:lpstr>OPEX (Bulanan &amp; Tahunan)</vt:lpstr>
      <vt:lpstr>Pegawai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Perceka</dc:creator>
  <cp:lastModifiedBy>Dimas Perceka</cp:lastModifiedBy>
  <dcterms:created xsi:type="dcterms:W3CDTF">2025-11-20T14:13:45Z</dcterms:created>
  <dcterms:modified xsi:type="dcterms:W3CDTF">2025-12-02T09:34:19Z</dcterms:modified>
</cp:coreProperties>
</file>